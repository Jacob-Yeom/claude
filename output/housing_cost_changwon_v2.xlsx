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495" yWindow="1095" windowWidth="22470" windowHeight="18600" tabRatio="600" firstSheet="0" activeTab="1" autoFilterDateGrouping="1"/>
  </bookViews>
  <sheets>
    <sheet xmlns:r="http://schemas.openxmlformats.org/officeDocument/2006/relationships" name="1_주거비_요약" sheetId="1" state="visible" r:id="rId1"/>
    <sheet xmlns:r="http://schemas.openxmlformats.org/officeDocument/2006/relationships" name="2_일회성" sheetId="2" state="visible" r:id="rId2"/>
    <sheet xmlns:r="http://schemas.openxmlformats.org/officeDocument/2006/relationships" name="3_월고정비" sheetId="3" state="visible" r:id="rId3"/>
    <sheet xmlns:r="http://schemas.openxmlformats.org/officeDocument/2006/relationships" name="4_점검항목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\-#,##0.0"/>
  </numFmts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color rgb="000070C0"/>
      <sz val="10"/>
    </font>
    <font>
      <name val="맑은 고딕"/>
      <color rgb="000070C0"/>
      <sz val="9"/>
    </font>
    <font>
      <name val="맑은 고딕"/>
      <color rgb="00C00000"/>
      <sz val="10"/>
    </font>
    <font>
      <name val="맑은 고딕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DE7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5" fillId="5" borderId="1" pivotButton="0" quotePrefix="0" xfId="0"/>
    <xf numFmtId="0" fontId="4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 wrapText="1"/>
    </xf>
    <xf numFmtId="0" fontId="4" fillId="4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/>
    </xf>
    <xf numFmtId="164" fontId="5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/>
    </xf>
    <xf numFmtId="0" fontId="5" fillId="5" borderId="1" pivotButton="0" quotePrefix="0" xfId="0"/>
    <xf numFmtId="164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9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D20" sqref="D20"/>
    </sheetView>
  </sheetViews>
  <sheetFormatPr baseColWidth="8" defaultRowHeight="16.5"/>
  <cols>
    <col width="30" customWidth="1" min="1" max="1"/>
    <col width="34" customWidth="1" min="2" max="2"/>
    <col width="16" customWidth="1" min="3" max="4"/>
    <col width="14" customWidth="1" min="5" max="5"/>
    <col width="52" customWidth="1" min="6" max="6"/>
  </cols>
  <sheetData>
    <row r="1" ht="20.25" customHeight="1">
      <c r="A1" s="1" t="inlineStr">
        <is>
          <t>창원 숙소 소요비용 산출 — 창원두산위브더센트럴 102동 (단위: 만 원)</t>
        </is>
      </c>
    </row>
    <row r="2">
      <c r="A2" s="2" t="inlineStr">
        <is>
          <t>※ 조건: 보증금 5,000만 원 · 월세 150만 원 · 1세대(84㎡, 3-bedroom, 파견 2인 공동 거주 전제). 기간은 기존 엑셀과 동일(2026 2개월 / 2027 12개월).</t>
        </is>
      </c>
    </row>
    <row r="3">
      <c r="B3" s="3" t="inlineStr">
        <is>
          <t>시나리오</t>
        </is>
      </c>
      <c r="C3" s="4" t="inlineStr">
        <is>
          <t>실속안</t>
        </is>
      </c>
    </row>
    <row r="4" ht="30" customHeight="1">
      <c r="A4" s="5" t="inlineStr">
        <is>
          <t>구분</t>
        </is>
      </c>
      <c r="B4" s="5" t="inlineStr">
        <is>
          <t>산출</t>
        </is>
      </c>
      <c r="C4" s="5" t="inlineStr">
        <is>
          <t>2026
(11~12월, 2개월)</t>
        </is>
      </c>
      <c r="D4" s="5" t="inlineStr">
        <is>
          <t>2027
(연간 12개월)</t>
        </is>
      </c>
      <c r="E4" s="5" t="inlineStr">
        <is>
          <t>합계
(14개월)</t>
        </is>
      </c>
      <c r="F4" s="5" t="inlineStr">
        <is>
          <t>비고</t>
        </is>
      </c>
    </row>
    <row r="5">
      <c r="A5" s="6" t="inlineStr">
        <is>
          <t>① 월세 + 보증금 기회비용</t>
        </is>
      </c>
      <c r="B5" s="6" t="inlineStr">
        <is>
          <t>월 150 × 개월</t>
        </is>
      </c>
      <c r="C5" s="27">
        <f>'3_월고정비'!C9*2</f>
        <v/>
      </c>
      <c r="D5" s="27">
        <f>'3_월고정비'!C9*12</f>
        <v/>
      </c>
      <c r="E5" s="27">
        <f>C5+D5</f>
        <v/>
      </c>
      <c r="F5" s="8" t="inlineStr">
        <is>
          <t>기존 엑셀 '주거비 지원'과 같은 범위</t>
        </is>
      </c>
    </row>
    <row r="6">
      <c r="A6" s="6" t="inlineStr">
        <is>
          <t>② 부대비용 (관리비·공과금·통신)</t>
        </is>
      </c>
      <c r="B6" s="6" t="inlineStr">
        <is>
          <t>월 38.5 × 개월 (가정값)</t>
        </is>
      </c>
      <c r="C6" s="27">
        <f>'3_월고정비'!C10*2</f>
        <v/>
      </c>
      <c r="D6" s="27">
        <f>'3_월고정비'!C10*12</f>
        <v/>
      </c>
      <c r="E6" s="27">
        <f>C6+D6</f>
        <v/>
      </c>
      <c r="F6" s="8" t="inlineStr">
        <is>
          <t>기존 엑셀에 없는 항목 — 가정값</t>
        </is>
      </c>
    </row>
    <row r="7">
      <c r="A7" s="6" t="inlineStr">
        <is>
          <t>③ 초기 일회성 (가구·커튼·가전·중개보수)</t>
        </is>
      </c>
      <c r="B7" s="6" t="inlineStr">
        <is>
          <t>C3 시나리오 적용</t>
        </is>
      </c>
      <c r="C7" s="27">
        <f>IF($C$3="실속안",'2_일회성'!G31,'2_일회성'!H31)</f>
        <v/>
      </c>
      <c r="D7" s="27" t="n">
        <v>0</v>
      </c>
      <c r="E7" s="27">
        <f>C7+D7</f>
        <v/>
      </c>
      <c r="F7" s="8" t="inlineStr">
        <is>
          <t>2026 입주 시 1회 발생. 2027 재사용 전제</t>
        </is>
      </c>
    </row>
    <row r="8">
      <c r="A8" s="26" t="inlineStr">
        <is>
          <t>숙소 소요비용 합계 (①+②+③)</t>
        </is>
      </c>
      <c r="B8" s="10" t="n"/>
      <c r="C8" s="28">
        <f>SUM(C5:C7)</f>
        <v/>
      </c>
      <c r="D8" s="28">
        <f>SUM(D5:D7)</f>
        <v/>
      </c>
      <c r="E8" s="28">
        <f>C8+D8</f>
        <v/>
      </c>
      <c r="F8" s="12" t="n"/>
    </row>
    <row r="9">
      <c r="A9" s="6" t="inlineStr">
        <is>
          <t>(참고) 보증금 (환급 대상, 비용 아님)</t>
        </is>
      </c>
      <c r="B9" s="6" t="inlineStr">
        <is>
          <t>계약 시 일시 지출</t>
        </is>
      </c>
      <c r="C9" s="27" t="n">
        <v>5000</v>
      </c>
      <c r="D9" s="27" t="n"/>
      <c r="E9" s="27" t="n"/>
      <c r="F9" s="8" t="inlineStr">
        <is>
          <t>현금 유출이지만 퇴거 시 환급 — 비용 합계에서 제외</t>
        </is>
      </c>
    </row>
    <row r="11">
      <c r="A11" s="3" t="inlineStr">
        <is>
          <t>시나리오별 일회성 비용</t>
        </is>
      </c>
    </row>
    <row r="12">
      <c r="A12" s="14" t="inlineStr">
        <is>
          <t>시나리오</t>
        </is>
      </c>
      <c r="B12" s="14" t="inlineStr">
        <is>
          <t>일회성 합계</t>
        </is>
      </c>
      <c r="C12" s="14" t="inlineStr">
        <is>
          <t>2026 총액 (①+②+③)</t>
        </is>
      </c>
    </row>
    <row r="13">
      <c r="A13" s="6" t="inlineStr">
        <is>
          <t>실속안</t>
        </is>
      </c>
      <c r="B13" s="27">
        <f>'2_일회성'!G31</f>
        <v/>
      </c>
      <c r="C13" s="27">
        <f>C5+C6+B13</f>
        <v/>
      </c>
    </row>
    <row r="14">
      <c r="A14" s="6" t="inlineStr">
        <is>
          <t>표준안</t>
        </is>
      </c>
      <c r="B14" s="27">
        <f>'2_일회성'!H31</f>
        <v/>
      </c>
      <c r="C14" s="27">
        <f>C5+C6+B14</f>
        <v/>
      </c>
    </row>
  </sheetData>
  <dataValidations count="1">
    <dataValidation sqref="C3" showDropDown="0" showInputMessage="0" showErrorMessage="0" allowBlank="0" type="list">
      <formula1>"실속안,표준안"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J30" sqref="J30"/>
    </sheetView>
  </sheetViews>
  <sheetFormatPr baseColWidth="8" defaultRowHeight="16.5"/>
  <cols>
    <col width="10" customWidth="1" min="1" max="1"/>
    <col width="22" customWidth="1" min="2" max="2"/>
    <col width="34" customWidth="1" min="3" max="3"/>
    <col width="6" customWidth="1" min="4" max="4"/>
    <col width="10" customWidth="1" min="5" max="6"/>
    <col width="11" customWidth="1" min="7" max="8"/>
    <col width="7" customWidth="1" min="9" max="9"/>
    <col width="58" customWidth="1" min="10" max="10"/>
  </cols>
  <sheetData>
    <row r="1" ht="20.25" customHeight="1">
      <c r="A1" s="1" t="inlineStr">
        <is>
          <t>초기 일회성 비용 (단위: 만 원)</t>
        </is>
      </c>
    </row>
    <row r="2">
      <c r="A2" s="2" t="inlineStr">
        <is>
          <t>※ 노란 셀 = 입력값. 포함 여부 Y/N으로 합계 반영 결정. 실속안/표준안 2개 시나리오.</t>
        </is>
      </c>
    </row>
    <row r="4" ht="30" customHeight="1">
      <c r="A4" s="5" t="inlineStr">
        <is>
          <t>구분</t>
        </is>
      </c>
      <c r="B4" s="5" t="inlineStr">
        <is>
          <t>품목</t>
        </is>
      </c>
      <c r="C4" s="5" t="inlineStr">
        <is>
          <t>규격·비고</t>
        </is>
      </c>
      <c r="D4" s="5" t="inlineStr">
        <is>
          <t>수량</t>
        </is>
      </c>
      <c r="E4" s="5" t="inlineStr">
        <is>
          <t>단가
실속안</t>
        </is>
      </c>
      <c r="F4" s="5" t="inlineStr">
        <is>
          <t>단가
표준안</t>
        </is>
      </c>
      <c r="G4" s="5" t="inlineStr">
        <is>
          <t>금액
실속안</t>
        </is>
      </c>
      <c r="H4" s="5" t="inlineStr">
        <is>
          <t>금액
표준안</t>
        </is>
      </c>
      <c r="I4" s="5" t="inlineStr">
        <is>
          <t>포함
(Y/N)</t>
        </is>
      </c>
      <c r="J4" s="5" t="inlineStr">
        <is>
          <t>단가 근거</t>
        </is>
      </c>
    </row>
    <row r="5">
      <c r="A5" s="15" t="inlineStr">
        <is>
          <t>거실</t>
        </is>
      </c>
      <c r="B5" s="6" t="inlineStr">
        <is>
          <t>소파</t>
        </is>
      </c>
      <c r="C5" s="16" t="inlineStr">
        <is>
          <t>3인용 패브릭</t>
        </is>
      </c>
      <c r="D5" s="17" t="n">
        <v>1</v>
      </c>
      <c r="E5" s="29" t="n">
        <v>50</v>
      </c>
      <c r="F5" s="29" t="n">
        <v>90</v>
      </c>
      <c r="G5" s="27">
        <f>D5*E5</f>
        <v/>
      </c>
      <c r="H5" s="27">
        <f>D5*F5</f>
        <v/>
      </c>
      <c r="I5" s="17" t="inlineStr">
        <is>
          <t>Y</t>
        </is>
      </c>
      <c r="J5" s="8" t="inlineStr">
        <is>
          <t>가정값 — 견적 확인 필요</t>
        </is>
      </c>
    </row>
    <row r="6">
      <c r="A6" s="15" t="inlineStr">
        <is>
          <t>거실</t>
        </is>
      </c>
      <c r="B6" s="6" t="inlineStr">
        <is>
          <t>소파 테이블</t>
        </is>
      </c>
      <c r="C6" s="16" t="n"/>
      <c r="D6" s="17" t="n">
        <v>1</v>
      </c>
      <c r="E6" s="29" t="n">
        <v>10</v>
      </c>
      <c r="F6" s="29" t="n">
        <v>15</v>
      </c>
      <c r="G6" s="27">
        <f>D6*E6</f>
        <v/>
      </c>
      <c r="H6" s="27">
        <f>D6*F6</f>
        <v/>
      </c>
      <c r="I6" s="17" t="inlineStr">
        <is>
          <t>Y</t>
        </is>
      </c>
      <c r="J6" s="8" t="inlineStr">
        <is>
          <t>가정값 — 견적 확인 필요</t>
        </is>
      </c>
    </row>
    <row r="7">
      <c r="A7" s="15" t="inlineStr">
        <is>
          <t>거실</t>
        </is>
      </c>
      <c r="B7" s="6" t="inlineStr">
        <is>
          <t>TV 거실장</t>
        </is>
      </c>
      <c r="C7" s="16" t="inlineStr">
        <is>
          <t>1,800mm급</t>
        </is>
      </c>
      <c r="D7" s="17" t="n">
        <v>1</v>
      </c>
      <c r="E7" s="29" t="n">
        <v>10</v>
      </c>
      <c r="F7" s="29" t="n">
        <v>25</v>
      </c>
      <c r="G7" s="27">
        <f>D7*E7</f>
        <v/>
      </c>
      <c r="H7" s="27">
        <f>D7*F7</f>
        <v/>
      </c>
      <c r="I7" s="17" t="inlineStr">
        <is>
          <t>Y</t>
        </is>
      </c>
      <c r="J7" s="8" t="inlineStr">
        <is>
          <t>가정값 — 견적 확인 필요</t>
        </is>
      </c>
    </row>
    <row r="8">
      <c r="A8" s="15" t="inlineStr">
        <is>
          <t>거실</t>
        </is>
      </c>
      <c r="B8" s="6" t="inlineStr">
        <is>
          <t>식탁 세트</t>
        </is>
      </c>
      <c r="C8" s="16" t="inlineStr">
        <is>
          <t>4인용(의자 포함)</t>
        </is>
      </c>
      <c r="D8" s="17" t="n">
        <v>1</v>
      </c>
      <c r="E8" s="29" t="n">
        <v>25</v>
      </c>
      <c r="F8" s="29" t="n">
        <v>60</v>
      </c>
      <c r="G8" s="27">
        <f>D8*E8</f>
        <v/>
      </c>
      <c r="H8" s="27">
        <f>D8*F8</f>
        <v/>
      </c>
      <c r="I8" s="17" t="inlineStr">
        <is>
          <t>Y</t>
        </is>
      </c>
      <c r="J8" s="8" t="inlineStr">
        <is>
          <t>가정값 — 견적 확인 필요</t>
        </is>
      </c>
    </row>
    <row r="9">
      <c r="A9" s="15" t="inlineStr">
        <is>
          <t>침실</t>
        </is>
      </c>
      <c r="B9" s="6" t="inlineStr">
        <is>
          <t>침대(프레임+매트리스)</t>
        </is>
      </c>
      <c r="C9" s="16" t="inlineStr">
        <is>
          <t>Q 사이즈 · 침실 2실 (파견 2인 기준)</t>
        </is>
      </c>
      <c r="D9" s="17" t="n">
        <v>2</v>
      </c>
      <c r="E9" s="29" t="n">
        <v>40</v>
      </c>
      <c r="F9" s="29" t="n">
        <v>90</v>
      </c>
      <c r="G9" s="27">
        <f>D9*E9</f>
        <v/>
      </c>
      <c r="H9" s="27">
        <f>D9*F9</f>
        <v/>
      </c>
      <c r="I9" s="17" t="inlineStr">
        <is>
          <t>Y</t>
        </is>
      </c>
      <c r="J9" s="8" t="inlineStr">
        <is>
          <t>가정값 — 견적 확인 필요</t>
        </is>
      </c>
    </row>
    <row r="10">
      <c r="A10" s="15" t="inlineStr">
        <is>
          <t>침실</t>
        </is>
      </c>
      <c r="B10" s="6" t="inlineStr">
        <is>
          <t>옷장 / 시스템 행거</t>
        </is>
      </c>
      <c r="C10" s="16" t="inlineStr">
        <is>
          <t>침실 2실</t>
        </is>
      </c>
      <c r="D10" s="17" t="n">
        <v>2</v>
      </c>
      <c r="E10" s="29" t="n">
        <v>15</v>
      </c>
      <c r="F10" s="29" t="n">
        <v>40</v>
      </c>
      <c r="G10" s="27">
        <f>D10*E10</f>
        <v/>
      </c>
      <c r="H10" s="27">
        <f>D10*F10</f>
        <v/>
      </c>
      <c r="I10" s="17" t="inlineStr">
        <is>
          <t>N</t>
        </is>
      </c>
      <c r="J10" s="8" t="inlineStr">
        <is>
          <t>가정값 — 견적 확인 필요</t>
        </is>
      </c>
    </row>
    <row r="11">
      <c r="A11" s="15" t="inlineStr">
        <is>
          <t>침실</t>
        </is>
      </c>
      <c r="B11" s="6" t="inlineStr">
        <is>
          <t>책상 + 의자</t>
        </is>
      </c>
      <c r="C11" s="16" t="inlineStr">
        <is>
          <t>침실 2실</t>
        </is>
      </c>
      <c r="D11" s="17" t="n">
        <v>2</v>
      </c>
      <c r="E11" s="29" t="n">
        <v>15</v>
      </c>
      <c r="F11" s="29" t="n">
        <v>30</v>
      </c>
      <c r="G11" s="27">
        <f>D11*E11</f>
        <v/>
      </c>
      <c r="H11" s="27">
        <f>D11*F11</f>
        <v/>
      </c>
      <c r="I11" s="17" t="inlineStr">
        <is>
          <t>Y</t>
        </is>
      </c>
      <c r="J11" s="8" t="inlineStr">
        <is>
          <t>가정값 — 견적 확인 필요</t>
        </is>
      </c>
    </row>
    <row r="12">
      <c r="A12" s="15" t="inlineStr">
        <is>
          <t>침실</t>
        </is>
      </c>
      <c r="B12" s="6" t="inlineStr">
        <is>
          <t>침구 세트</t>
        </is>
      </c>
      <c r="C12" s="16" t="inlineStr">
        <is>
          <t>이불·베개·커버</t>
        </is>
      </c>
      <c r="D12" s="17" t="n">
        <v>2</v>
      </c>
      <c r="E12" s="29" t="n">
        <v>8</v>
      </c>
      <c r="F12" s="29" t="n">
        <v>20</v>
      </c>
      <c r="G12" s="27">
        <f>D12*E12</f>
        <v/>
      </c>
      <c r="H12" s="27">
        <f>D12*F12</f>
        <v/>
      </c>
      <c r="I12" s="17" t="inlineStr">
        <is>
          <t>Y</t>
        </is>
      </c>
      <c r="J12" s="8" t="inlineStr">
        <is>
          <t>가정값 — 견적 확인 필요</t>
        </is>
      </c>
    </row>
    <row r="13" ht="27" customHeight="1">
      <c r="A13" s="15" t="inlineStr">
        <is>
          <t>커튼</t>
        </is>
      </c>
      <c r="B13" s="6" t="inlineStr">
        <is>
          <t>커튼 (전체 창)</t>
        </is>
      </c>
      <c r="C13" s="16" t="inlineStr">
        <is>
          <t>실속=기성품, 표준=맞춤 암막 나비주름+레일 / 34평 창 6개 기준</t>
        </is>
      </c>
      <c r="D13" s="17" t="n">
        <v>1</v>
      </c>
      <c r="E13" s="29" t="n">
        <v>50</v>
      </c>
      <c r="F13" s="29" t="n">
        <v>104.5</v>
      </c>
      <c r="G13" s="27">
        <f>D13*E13</f>
        <v/>
      </c>
      <c r="H13" s="27">
        <f>D13*F13</f>
        <v/>
      </c>
      <c r="I13" s="17" t="inlineStr">
        <is>
          <t>Y</t>
        </is>
      </c>
      <c r="J13" s="8" t="inlineStr">
        <is>
          <t>glasswallet.com 커튼 맞춤제작 비용(2026) — 34평 맞춤 1,045,000원 / 기성품 317,800원</t>
        </is>
      </c>
    </row>
    <row r="14" ht="27" customHeight="1">
      <c r="A14" s="15" t="inlineStr">
        <is>
          <t>가전</t>
        </is>
      </c>
      <c r="B14" s="6" t="inlineStr">
        <is>
          <t>가스레인지 3구</t>
        </is>
      </c>
      <c r="C14" s="16" t="inlineStr">
        <is>
          <t>LNG 확인 필요 · 빌트인 쿡탑 기설치 여부 확인</t>
        </is>
      </c>
      <c r="D14" s="17" t="n">
        <v>1</v>
      </c>
      <c r="E14" s="29" t="n">
        <v>18.9</v>
      </c>
      <c r="F14" s="29" t="n">
        <v>25</v>
      </c>
      <c r="G14" s="27">
        <f>D14*E14</f>
        <v/>
      </c>
      <c r="H14" s="27">
        <f>D14*F14</f>
        <v/>
      </c>
      <c r="I14" s="17" t="inlineStr">
        <is>
          <t>Y</t>
        </is>
      </c>
      <c r="J14" s="8" t="inlineStr">
        <is>
          <t>쿠팡 나비엔매직 3구 189,000원 · 코스트코 가스설치비 20,000원(2구 기준) (표준안 25는 가정)</t>
        </is>
      </c>
    </row>
    <row r="15">
      <c r="A15" s="15" t="inlineStr">
        <is>
          <t>가전</t>
        </is>
      </c>
      <c r="B15" s="6" t="inlineStr">
        <is>
          <t>가스레인지 설치비</t>
        </is>
      </c>
      <c r="C15" s="16" t="inlineStr">
        <is>
          <t>도시가스 연결</t>
        </is>
      </c>
      <c r="D15" s="17" t="n">
        <v>1</v>
      </c>
      <c r="E15" s="29" t="n">
        <v>2</v>
      </c>
      <c r="F15" s="29" t="n">
        <v>2</v>
      </c>
      <c r="G15" s="27">
        <f>D15*E15</f>
        <v/>
      </c>
      <c r="H15" s="27">
        <f>D15*F15</f>
        <v/>
      </c>
      <c r="I15" s="17" t="inlineStr">
        <is>
          <t>Y</t>
        </is>
      </c>
      <c r="J15" s="8" t="inlineStr">
        <is>
          <t>쿠팡 나비엔매직 3구 189,000원 · 코스트코 가스설치비 20,000원(2구 기준)</t>
        </is>
      </c>
    </row>
    <row r="16">
      <c r="A16" s="15" t="inlineStr">
        <is>
          <t>가전</t>
        </is>
      </c>
      <c r="B16" s="6" t="inlineStr">
        <is>
          <t>전기밥솥</t>
        </is>
      </c>
      <c r="C16" s="16" t="inlineStr">
        <is>
          <t>6인용 전기압력밥솥</t>
        </is>
      </c>
      <c r="D16" s="17" t="n">
        <v>1</v>
      </c>
      <c r="E16" s="29" t="n">
        <v>15</v>
      </c>
      <c r="F16" s="29" t="n">
        <v>35</v>
      </c>
      <c r="G16" s="27">
        <f>D16*E16</f>
        <v/>
      </c>
      <c r="H16" s="27">
        <f>D16*F16</f>
        <v/>
      </c>
      <c r="I16" s="17" t="inlineStr">
        <is>
          <t>Y</t>
        </is>
      </c>
      <c r="J16" s="8" t="inlineStr">
        <is>
          <t>가정값 — 견적 확인 필요</t>
        </is>
      </c>
    </row>
    <row r="17">
      <c r="A17" s="15" t="inlineStr">
        <is>
          <t>가전</t>
        </is>
      </c>
      <c r="B17" s="6" t="inlineStr">
        <is>
          <t>TV</t>
        </is>
      </c>
      <c r="C17" s="16" t="inlineStr">
        <is>
          <t>55인치 · 스탠드형</t>
        </is>
      </c>
      <c r="D17" s="17" t="n">
        <v>1</v>
      </c>
      <c r="E17" s="29" t="n">
        <v>50</v>
      </c>
      <c r="F17" s="29" t="n">
        <v>100</v>
      </c>
      <c r="G17" s="27">
        <f>D17*E17</f>
        <v/>
      </c>
      <c r="H17" s="27">
        <f>D17*F17</f>
        <v/>
      </c>
      <c r="I17" s="17" t="inlineStr">
        <is>
          <t>Y</t>
        </is>
      </c>
      <c r="J17" s="8" t="inlineStr">
        <is>
          <t>가정값 — 견적 확인 필요</t>
        </is>
      </c>
    </row>
    <row r="18">
      <c r="A18" s="30" t="inlineStr">
        <is>
          <t>가전</t>
        </is>
      </c>
      <c r="B18" s="31" t="inlineStr">
        <is>
          <t>냉장고</t>
        </is>
      </c>
      <c r="C18" s="32" t="inlineStr">
        <is>
          <t>일반형 2도어 500~600L급</t>
        </is>
      </c>
      <c r="D18" s="33" t="n">
        <v>1</v>
      </c>
      <c r="E18" s="34" t="n">
        <v>70</v>
      </c>
      <c r="F18" s="34" t="n">
        <v>90.40000000000001</v>
      </c>
      <c r="G18" s="35">
        <f>D18*E18</f>
        <v/>
      </c>
      <c r="H18" s="35">
        <f>D18*F18</f>
        <v/>
      </c>
      <c r="I18" s="33" t="inlineStr">
        <is>
          <t>Y</t>
        </is>
      </c>
      <c r="J18" s="36" t="inlineStr">
        <is>
          <t>실속: 위시버킷 LG 오브제 일반냉장고 70만 원('26.6 추적가, 모델 미특정) · 표준: SSG LG D604MPS52 612L 903,560원 — 옵션 포함 시 N</t>
        </is>
      </c>
    </row>
    <row r="19">
      <c r="A19" s="30" t="inlineStr">
        <is>
          <t>가전</t>
        </is>
      </c>
      <c r="B19" s="31" t="inlineStr">
        <is>
          <t>세탁기</t>
        </is>
      </c>
      <c r="C19" s="32" t="inlineStr">
        <is>
          <t>실속=통돌이 16kg / 표준=드럼 21kg (방문설치)</t>
        </is>
      </c>
      <c r="D19" s="33" t="n">
        <v>1</v>
      </c>
      <c r="E19" s="34" t="n">
        <v>38.9</v>
      </c>
      <c r="F19" s="34" t="n">
        <v>88.5</v>
      </c>
      <c r="G19" s="35">
        <f>D19*E19</f>
        <v/>
      </c>
      <c r="H19" s="35">
        <f>D19*F19</f>
        <v/>
      </c>
      <c r="I19" s="33" t="inlineStr">
        <is>
          <t>Y</t>
        </is>
      </c>
      <c r="J19" s="36" t="inlineStr">
        <is>
          <t>실속: LG 통돌이 TR16WV6 389,000원('26.3 핫딜가) · 표준: 다나와 기획전 LG 트롬 F21WDSPR 885,180원 — 옵션 포함 시 N</t>
        </is>
      </c>
    </row>
    <row r="20" ht="27" customHeight="1">
      <c r="A20" s="15" t="inlineStr">
        <is>
          <t>계약</t>
        </is>
      </c>
      <c r="B20" s="6" t="inlineStr">
        <is>
          <t>부동산 중개보수</t>
        </is>
      </c>
      <c r="C20" s="16" t="inlineStr">
        <is>
          <t>환산 2억(5,000+150×100) × 0.3% = 60 + VAT 10%</t>
        </is>
      </c>
      <c r="D20" s="17" t="n">
        <v>1</v>
      </c>
      <c r="E20" s="29" t="n">
        <v>66</v>
      </c>
      <c r="F20" s="29" t="n">
        <v>66</v>
      </c>
      <c r="G20" s="27">
        <f>D20*E20</f>
        <v/>
      </c>
      <c r="H20" s="27">
        <f>D20*F20</f>
        <v/>
      </c>
      <c r="I20" s="17" t="inlineStr">
        <is>
          <t>Y</t>
        </is>
      </c>
      <c r="J20" s="8" t="inlineStr">
        <is>
          <t>공인중개사법 시행규칙 상한요율(임대차 1억~6억 미만 0.3%) · 상한액, 협의 가능</t>
        </is>
      </c>
    </row>
    <row r="21">
      <c r="A21" s="15" t="inlineStr">
        <is>
          <t>선택</t>
        </is>
      </c>
      <c r="B21" s="6" t="inlineStr">
        <is>
          <t>입주 청소</t>
        </is>
      </c>
      <c r="C21" s="16" t="inlineStr">
        <is>
          <t>요청 범위 외 — 필요 시 Y</t>
        </is>
      </c>
      <c r="D21" s="17" t="n">
        <v>1</v>
      </c>
      <c r="E21" s="29" t="n">
        <v>35</v>
      </c>
      <c r="F21" s="29" t="n">
        <v>45</v>
      </c>
      <c r="G21" s="27">
        <f>D21*E21</f>
        <v/>
      </c>
      <c r="H21" s="27">
        <f>D21*F21</f>
        <v/>
      </c>
      <c r="I21" s="17" t="inlineStr">
        <is>
          <t>N</t>
        </is>
      </c>
      <c r="J21" s="8" t="inlineStr">
        <is>
          <t>가정값 — 견적 확인 필요</t>
        </is>
      </c>
    </row>
    <row r="22">
      <c r="A22" s="15" t="inlineStr">
        <is>
          <t>선택</t>
        </is>
      </c>
      <c r="B22" s="6" t="inlineStr">
        <is>
          <t>주방·생활용품</t>
        </is>
      </c>
      <c r="C22" s="16" t="inlineStr">
        <is>
          <t>냄비·식기·청소기 등 — 필요 시 Y</t>
        </is>
      </c>
      <c r="D22" s="17" t="n">
        <v>1</v>
      </c>
      <c r="E22" s="29" t="n">
        <v>30</v>
      </c>
      <c r="F22" s="29" t="n">
        <v>60</v>
      </c>
      <c r="G22" s="27">
        <f>D22*E22</f>
        <v/>
      </c>
      <c r="H22" s="27">
        <f>D22*F22</f>
        <v/>
      </c>
      <c r="I22" s="17" t="inlineStr">
        <is>
          <t>Y</t>
        </is>
      </c>
      <c r="J22" s="8" t="inlineStr">
        <is>
          <t>가정값 — 견적 확인 필요</t>
        </is>
      </c>
    </row>
    <row r="24">
      <c r="A24" s="25" t="inlineStr">
        <is>
          <t>구분 소계 (포함 항목만)</t>
        </is>
      </c>
      <c r="B24" s="23" t="n"/>
      <c r="C24" s="23" t="n"/>
      <c r="D24" s="23" t="n"/>
      <c r="E24" s="23" t="n"/>
      <c r="F24" s="24" t="n"/>
      <c r="G24" s="25" t="inlineStr">
        <is>
          <t>실속안</t>
        </is>
      </c>
      <c r="H24" s="25" t="inlineStr">
        <is>
          <t>표준안</t>
        </is>
      </c>
    </row>
    <row r="25">
      <c r="A25" s="22" t="inlineStr">
        <is>
          <t>거실</t>
        </is>
      </c>
      <c r="B25" s="23" t="n"/>
      <c r="C25" s="23" t="n"/>
      <c r="D25" s="23" t="n"/>
      <c r="E25" s="23" t="n"/>
      <c r="F25" s="24" t="n"/>
      <c r="G25" s="37">
        <f>SUMIFS(G$5:G$22,$A$5:$A$22,"거실",$I$5:$I$22,"Y")</f>
        <v/>
      </c>
      <c r="H25" s="37">
        <f>SUMIFS(H$5:H$22,$A$5:$A$22,"거실",$I$5:$I$22,"Y")</f>
        <v/>
      </c>
    </row>
    <row r="26">
      <c r="A26" s="22" t="inlineStr">
        <is>
          <t>침실</t>
        </is>
      </c>
      <c r="B26" s="23" t="n"/>
      <c r="C26" s="23" t="n"/>
      <c r="D26" s="23" t="n"/>
      <c r="E26" s="23" t="n"/>
      <c r="F26" s="24" t="n"/>
      <c r="G26" s="37">
        <f>SUMIFS(G$5:G$22,$A$5:$A$22,"침실",$I$5:$I$22,"Y")</f>
        <v/>
      </c>
      <c r="H26" s="37">
        <f>SUMIFS(H$5:H$22,$A$5:$A$22,"침실",$I$5:$I$22,"Y")</f>
        <v/>
      </c>
    </row>
    <row r="27">
      <c r="A27" s="22" t="inlineStr">
        <is>
          <t>커튼</t>
        </is>
      </c>
      <c r="B27" s="23" t="n"/>
      <c r="C27" s="23" t="n"/>
      <c r="D27" s="23" t="n"/>
      <c r="E27" s="23" t="n"/>
      <c r="F27" s="24" t="n"/>
      <c r="G27" s="37">
        <f>SUMIFS(G$5:G$22,$A$5:$A$22,"커튼",$I$5:$I$22,"Y")</f>
        <v/>
      </c>
      <c r="H27" s="37">
        <f>SUMIFS(H$5:H$22,$A$5:$A$22,"커튼",$I$5:$I$22,"Y")</f>
        <v/>
      </c>
    </row>
    <row r="28">
      <c r="A28" s="22" t="inlineStr">
        <is>
          <t>가전</t>
        </is>
      </c>
      <c r="B28" s="23" t="n"/>
      <c r="C28" s="23" t="n"/>
      <c r="D28" s="23" t="n"/>
      <c r="E28" s="23" t="n"/>
      <c r="F28" s="24" t="n"/>
      <c r="G28" s="37">
        <f>SUMIFS(G$5:G$22,$A$5:$A$22,"가전",$I$5:$I$22,"Y")</f>
        <v/>
      </c>
      <c r="H28" s="37">
        <f>SUMIFS(H$5:H$22,$A$5:$A$22,"가전",$I$5:$I$22,"Y")</f>
        <v/>
      </c>
    </row>
    <row r="29">
      <c r="A29" s="22" t="inlineStr">
        <is>
          <t>계약</t>
        </is>
      </c>
      <c r="B29" s="23" t="n"/>
      <c r="C29" s="23" t="n"/>
      <c r="D29" s="23" t="n"/>
      <c r="E29" s="23" t="n"/>
      <c r="F29" s="24" t="n"/>
      <c r="G29" s="37">
        <f>SUMIFS(G$5:G$22,$A$5:$A$22,"계약",$I$5:$I$22,"Y")</f>
        <v/>
      </c>
      <c r="H29" s="37">
        <f>SUMIFS(H$5:H$22,$A$5:$A$22,"계약",$I$5:$I$22,"Y")</f>
        <v/>
      </c>
    </row>
    <row r="30">
      <c r="A30" s="22" t="inlineStr">
        <is>
          <t>선택</t>
        </is>
      </c>
      <c r="B30" s="23" t="n"/>
      <c r="C30" s="23" t="n"/>
      <c r="D30" s="23" t="n"/>
      <c r="E30" s="23" t="n"/>
      <c r="F30" s="24" t="n"/>
      <c r="G30" s="37">
        <f>SUMIFS(G$5:G$22,$A$5:$A$22,"선택",$I$5:$I$22,"Y")</f>
        <v/>
      </c>
      <c r="H30" s="37">
        <f>SUMIFS(H$5:H$22,$A$5:$A$22,"선택",$I$5:$I$22,"Y")</f>
        <v/>
      </c>
    </row>
    <row r="31">
      <c r="A31" s="26" t="inlineStr">
        <is>
          <t>일회성 비용 합계</t>
        </is>
      </c>
      <c r="B31" s="23" t="n"/>
      <c r="C31" s="23" t="n"/>
      <c r="D31" s="23" t="n"/>
      <c r="E31" s="23" t="n"/>
      <c r="F31" s="24" t="n"/>
      <c r="G31" s="28">
        <f>SUM(G25:G30)</f>
        <v/>
      </c>
      <c r="H31" s="28">
        <f>SUM(H25:H30)</f>
        <v/>
      </c>
    </row>
  </sheetData>
  <mergeCells count="8">
    <mergeCell ref="A24:F24"/>
    <mergeCell ref="A28:F28"/>
    <mergeCell ref="A27:F27"/>
    <mergeCell ref="A31:F31"/>
    <mergeCell ref="A26:F26"/>
    <mergeCell ref="A30:F30"/>
    <mergeCell ref="A29:F29"/>
    <mergeCell ref="A25:F25"/>
  </mergeCells>
  <dataValidations count="1">
    <dataValidation sqref="I5:I22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C30" sqref="C30"/>
    </sheetView>
  </sheetViews>
  <sheetFormatPr baseColWidth="8" defaultRowHeight="16.5"/>
  <cols>
    <col width="26" customWidth="1" min="1" max="1"/>
    <col width="40" customWidth="1" min="2" max="2"/>
    <col width="11" customWidth="1" min="3" max="4"/>
    <col width="60" customWidth="1" min="5" max="5"/>
  </cols>
  <sheetData>
    <row r="1" ht="20.25" customHeight="1">
      <c r="A1" s="1" t="inlineStr">
        <is>
          <t>월 고정비 (단위: 만 원/월)</t>
        </is>
      </c>
    </row>
    <row r="2">
      <c r="A2" s="2" t="inlineStr">
        <is>
          <t>※ 노란 셀 = 입력값. '기존 산출 범위' = 기존 파견운영비용 엑셀 '주거비 지원' 행에 포함된 항목(월세+보증금 기회비용).</t>
        </is>
      </c>
    </row>
    <row r="4" ht="30" customHeight="1">
      <c r="A4" s="5" t="inlineStr">
        <is>
          <t>항목</t>
        </is>
      </c>
      <c r="B4" s="5" t="inlineStr">
        <is>
          <t>산출 근거</t>
        </is>
      </c>
      <c r="C4" s="5" t="inlineStr">
        <is>
          <t>월 금액</t>
        </is>
      </c>
      <c r="D4" s="5" t="inlineStr">
        <is>
          <t>기존 산출
범위(Y/N)</t>
        </is>
      </c>
      <c r="E4" s="5" t="inlineStr">
        <is>
          <t>근거·확인사항</t>
        </is>
      </c>
    </row>
    <row r="5">
      <c r="A5" s="6" t="inlineStr">
        <is>
          <t>월세</t>
        </is>
      </c>
      <c r="B5" s="16" t="inlineStr">
        <is>
          <t>150만 원 (확정)</t>
        </is>
      </c>
      <c r="C5" s="27">
        <f>150</f>
        <v/>
      </c>
      <c r="D5" s="15" t="inlineStr">
        <is>
          <t>Y</t>
        </is>
      </c>
      <c r="E5" s="8" t="inlineStr">
        <is>
          <t>사용자 제시 조건</t>
        </is>
      </c>
    </row>
    <row r="6">
      <c r="A6" s="6" t="inlineStr">
        <is>
          <t>관리비</t>
        </is>
      </c>
      <c r="B6" s="16" t="inlineStr">
        <is>
          <t>84㎡ 공용관리비 등</t>
        </is>
      </c>
      <c r="C6" s="29" t="n">
        <v>25</v>
      </c>
      <c r="D6" s="15" t="inlineStr">
        <is>
          <t>N</t>
        </is>
      </c>
      <c r="E6" s="8" t="inlineStr">
        <is>
          <t>가정값 — 견적 확인 필요 — K-apt(공동주택관리정보시스템) 단지 조회로 확정</t>
        </is>
      </c>
    </row>
    <row r="7">
      <c r="A7" s="6" t="inlineStr">
        <is>
          <t>공과금 (전기·가스 사용분)</t>
        </is>
      </c>
      <c r="B7" s="16" t="inlineStr">
        <is>
          <t>개별 사용량</t>
        </is>
      </c>
      <c r="C7" s="29" t="n">
        <v>10</v>
      </c>
      <c r="D7" s="15" t="inlineStr">
        <is>
          <t>N</t>
        </is>
      </c>
      <c r="E7" s="8" t="inlineStr">
        <is>
          <t>가정값 — 견적 확인 필요 — 동절기 난방비 증가</t>
        </is>
      </c>
    </row>
    <row r="8">
      <c r="A8" s="6" t="inlineStr">
        <is>
          <t>인터넷 + IPTV</t>
        </is>
      </c>
      <c r="B8" s="16" t="inlineStr">
        <is>
          <t>1회선</t>
        </is>
      </c>
      <c r="C8" s="29" t="n">
        <v>3.5</v>
      </c>
      <c r="D8" s="15" t="inlineStr">
        <is>
          <t>N</t>
        </is>
      </c>
      <c r="E8" s="8" t="inlineStr">
        <is>
          <t>가정값 — 견적 확인 필요</t>
        </is>
      </c>
    </row>
    <row r="9">
      <c r="A9" s="22" t="inlineStr">
        <is>
          <t>월 고정비 — 기존 산출 범위</t>
        </is>
      </c>
      <c r="B9" s="24" t="n"/>
      <c r="C9" s="37">
        <f>SUMIFS(C5:C8,D5:D8,"Y")</f>
        <v/>
      </c>
      <c r="D9" s="13" t="n"/>
      <c r="E9" s="13" t="n"/>
    </row>
    <row r="10">
      <c r="A10" s="22" t="inlineStr">
        <is>
          <t>월 고정비 — 부대비용</t>
        </is>
      </c>
      <c r="B10" s="24" t="n"/>
      <c r="C10" s="37">
        <f>SUMIFS(C5:C8,D5:D8,"N")</f>
        <v/>
      </c>
      <c r="D10" s="13" t="n"/>
      <c r="E10" s="13" t="n"/>
    </row>
    <row r="11">
      <c r="A11" s="26" t="inlineStr">
        <is>
          <t>월 고정비 합계</t>
        </is>
      </c>
      <c r="B11" s="24" t="n"/>
      <c r="C11" s="28">
        <f>SUM(C5:C8)</f>
        <v/>
      </c>
      <c r="D11" s="10" t="n"/>
      <c r="E11" s="10" t="n"/>
    </row>
  </sheetData>
  <mergeCells count="3">
    <mergeCell ref="A9:B9"/>
    <mergeCell ref="A11:B1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D29" sqref="D29"/>
    </sheetView>
  </sheetViews>
  <sheetFormatPr baseColWidth="8" defaultRowHeight="16.5"/>
  <cols>
    <col width="5" customWidth="1" min="1" max="1"/>
    <col width="22" customWidth="1" min="2" max="2"/>
    <col width="80" customWidth="1" min="3" max="3"/>
    <col width="40" customWidth="1" min="4" max="4"/>
  </cols>
  <sheetData>
    <row r="1" ht="20.25" customHeight="1">
      <c r="A1" s="1" t="inlineStr">
        <is>
          <t>확인 필요 사항</t>
        </is>
      </c>
    </row>
    <row r="2">
      <c r="A2" s="38" t="inlineStr">
        <is>
          <t>※ 가정값·미확정 사항. 확인 후 2_일회성 / 3_월고정비 노란 셀 수정 시 전체 자동 반영.</t>
        </is>
      </c>
    </row>
    <row r="4" ht="30" customHeight="1">
      <c r="A4" s="5" t="inlineStr">
        <is>
          <t>No</t>
        </is>
      </c>
      <c r="B4" s="5" t="inlineStr">
        <is>
          <t>항목</t>
        </is>
      </c>
      <c r="C4" s="5" t="inlineStr">
        <is>
          <t>내용</t>
        </is>
      </c>
      <c r="D4" s="5" t="inlineStr">
        <is>
          <t>확인처</t>
        </is>
      </c>
    </row>
    <row r="5" ht="27" customHeight="1">
      <c r="A5" s="15" t="n">
        <v>1</v>
      </c>
      <c r="B5" s="21" t="inlineStr">
        <is>
          <t>빌트인 쿡탑</t>
        </is>
      </c>
      <c r="C5" s="16" t="inlineStr">
        <is>
          <t>2021년 분양 신축 단지는 빌트인 쿡탑(가스/인덕션)이 기본 설치된 경우가 많음. 설치돼 있으면 가스레인지 구매 불필요</t>
        </is>
      </c>
      <c r="D5" s="16" t="inlineStr">
        <is>
          <t>임대인·중개사무소</t>
        </is>
      </c>
    </row>
    <row r="6">
      <c r="A6" s="15" t="n">
        <v>2</v>
      </c>
      <c r="B6" s="21" t="inlineStr">
        <is>
          <t>냉장고·세탁기</t>
        </is>
      </c>
      <c r="C6" s="39" t="inlineStr">
        <is>
          <t>일회성 비용에 반영 완료(가정 단가, 실속/표준). 임대 옵션으로 포함돼 있으면 '2_일회성' 포함 여부를 N으로 변경</t>
        </is>
      </c>
      <c r="D6" s="16" t="inlineStr">
        <is>
          <t>임대인·중개사무소</t>
        </is>
      </c>
    </row>
    <row r="7">
      <c r="A7" s="15" t="n">
        <v>3</v>
      </c>
      <c r="B7" s="21" t="inlineStr">
        <is>
          <t>관리비</t>
        </is>
      </c>
      <c r="C7" s="16" t="inlineStr">
        <is>
          <t>가정값 월 25만 원. 단지 실제 부과액으로 교체</t>
        </is>
      </c>
      <c r="D7" s="16" t="inlineStr">
        <is>
          <t>K-apt 단지 조회 / 관리사무소</t>
        </is>
      </c>
    </row>
    <row r="8">
      <c r="A8" s="15" t="n">
        <v>4</v>
      </c>
      <c r="B8" s="21" t="inlineStr">
        <is>
          <t>평형·방 구성</t>
        </is>
      </c>
      <c r="C8" s="16" t="inlineStr">
        <is>
          <t>102동 84㎡ 타입 전제(블로그 자료상 102동 84A 매물 확인). 방 3개 중 2실 가구 배치 가정</t>
        </is>
      </c>
      <c r="D8" s="16" t="inlineStr">
        <is>
          <t>중개사무소</t>
        </is>
      </c>
    </row>
    <row r="9">
      <c r="A9" s="15" t="n">
        <v>5</v>
      </c>
      <c r="B9" s="21" t="inlineStr">
        <is>
          <t>중개보수</t>
        </is>
      </c>
      <c r="C9" s="16" t="inlineStr">
        <is>
          <t>상한요율 0.3% + VAT 기준 66만 원. 중개사가 간이과세자면 VAT 다름, 협의로 인하 가능</t>
        </is>
      </c>
      <c r="D9" s="16" t="inlineStr">
        <is>
          <t>중개사무소</t>
        </is>
      </c>
    </row>
    <row r="10">
      <c r="A10" s="15" t="n">
        <v>6</v>
      </c>
      <c r="B10" s="21" t="inlineStr">
        <is>
          <t>가구·가전 단가</t>
        </is>
      </c>
      <c r="C10" s="16" t="inlineStr">
        <is>
          <t>커튼·가스레인지 외 단가는 가정값. 다나와·네이버쇼핑 견적 또는 구매 담당 견적으로 교체</t>
        </is>
      </c>
      <c r="D10" s="16" t="inlineStr">
        <is>
          <t>구매 담당</t>
        </is>
      </c>
    </row>
    <row r="11" ht="27" customHeight="1">
      <c r="A11" s="15" t="n">
        <v>7</v>
      </c>
      <c r="B11" s="21" t="inlineStr">
        <is>
          <t>PPT 일회성 비용과의 정합</t>
        </is>
      </c>
      <c r="C11" s="39" t="inlineStr">
        <is>
          <t>사업계획 PPT의 2026 일회성 비용은 0.05억(500만 원). 냉장고·세탁기 포함 시 숙소 초기 일회성만 실속안 약 562만 원, 표준안 약 1,041만 원 → 두 안 모두 단독으로 초과. PPT 반영 여부 결정 필요</t>
        </is>
      </c>
      <c r="D11" s="16" t="inlineStr">
        <is>
          <t>작성자</t>
        </is>
      </c>
    </row>
    <row r="13">
      <c r="A13" s="3" t="inlineStr">
        <is>
          <t>출처</t>
        </is>
      </c>
    </row>
    <row r="14">
      <c r="B14" s="2" t="inlineStr">
        <is>
          <t>https://glasswallet.com/calculate/blind-curtain-cost/curtain-custom-cost</t>
        </is>
      </c>
    </row>
    <row r="15">
      <c r="B15" s="2" t="inlineStr">
        <is>
          <t>https://www.coupang.com/vp/products/9652614779</t>
        </is>
      </c>
    </row>
    <row r="16">
      <c r="B16" s="2" t="inlineStr">
        <is>
          <t>https://www.costco.co.kr/Appliances/Kitchen-Miscellaneous/Electric-RangesGas-Stoves/Rinnai-Free-Standing-Gas-Range-2-Burners/p/669939</t>
        </is>
      </c>
    </row>
    <row r="17">
      <c r="B17" s="2" t="inlineStr">
        <is>
          <t>https://oursupporter.com/guide/agent-fee-guide</t>
        </is>
      </c>
    </row>
    <row r="18">
      <c r="B18" s="2" t="inlineStr">
        <is>
          <t>https://mhb-blog.com/?p=3904 (102동 84A 매물 정보)</t>
        </is>
      </c>
    </row>
    <row r="19">
      <c r="B19" s="2" t="inlineStr">
        <is>
          <t>https://news.mtn.co.kr/news-detail/2021121315423296292 (단지 개요)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2026-10-29T10:52:37Z</dcterms:created>
  <dcterms:modified xmlns:dcterms="http://purl.org/dc/terms/" xmlns:xsi="http://www.w3.org/2001/XMLSchema-instance" xsi:type="dcterms:W3CDTF">2026-10-29T11:05:41Z</dcterms:modified>
  <cp:lastModifiedBy>Yeom jonghak</cp:lastModifiedBy>
</cp:coreProperties>
</file>