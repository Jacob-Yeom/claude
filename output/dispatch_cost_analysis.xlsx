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Original" sheetId="1" state="visible" r:id="rId1"/>
    <sheet xmlns:r="http://schemas.openxmlformats.org/officeDocument/2006/relationships" name="2_Recalc" sheetId="2" state="visible" r:id="rId2"/>
    <sheet xmlns:r="http://schemas.openxmlformats.org/officeDocument/2006/relationships" name="3_Find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;[Red]-#,##0.0"/>
  </numFmts>
  <fonts count="8">
    <font>
      <name val="Calibri"/>
      <family val="2"/>
      <color theme="1"/>
      <sz val="11"/>
      <scheme val="minor"/>
    </font>
    <font>
      <name val="맑은 고딕"/>
      <b val="1"/>
      <color rgb="001F3864"/>
      <sz val="14"/>
    </font>
    <font>
      <name val="맑은 고딕"/>
      <color rgb="00595959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  <font>
      <name val="맑은 고딕"/>
      <b val="1"/>
      <color rgb="00C00000"/>
      <sz val="10"/>
    </font>
    <font>
      <name val="맑은 고딕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FFFD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0" fontId="5" fillId="3" borderId="1" pivotButton="0" quotePrefix="0" xfId="0"/>
    <xf numFmtId="164" fontId="5" fillId="3" borderId="1" applyAlignment="1" pivotButton="0" quotePrefix="0" xfId="0">
      <alignment horizontal="right"/>
    </xf>
    <xf numFmtId="0" fontId="5" fillId="4" borderId="1" pivotButton="0" quotePrefix="0" xfId="0"/>
    <xf numFmtId="164" fontId="5" fillId="4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4" fillId="5" borderId="1" applyAlignment="1" pivotButton="0" quotePrefix="0" xfId="0">
      <alignment horizontal="center"/>
    </xf>
    <xf numFmtId="0" fontId="4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165" fontId="5" fillId="3" borderId="1" applyAlignment="1" pivotButton="0" quotePrefix="0" xfId="0">
      <alignment horizontal="right"/>
    </xf>
    <xf numFmtId="0" fontId="5" fillId="3" borderId="1" applyAlignment="1" pivotButton="0" quotePrefix="0" xfId="0">
      <alignment vertical="center" wrapText="1"/>
    </xf>
    <xf numFmtId="165" fontId="5" fillId="4" borderId="1" applyAlignment="1" pivotButton="0" quotePrefix="0" xfId="0">
      <alignment horizontal="right"/>
    </xf>
    <xf numFmtId="0" fontId="5" fillId="0" borderId="1" pivotButton="0" quotePrefix="0" xfId="0"/>
    <xf numFmtId="165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164" fontId="4" fillId="0" borderId="1" pivotButton="0" quotePrefix="0" xfId="0"/>
    <xf numFmtId="164" fontId="7" fillId="0" borderId="1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20" customWidth="1" min="3" max="3"/>
    <col width="22" customWidth="1" min="4" max="4"/>
  </cols>
  <sheetData>
    <row r="1">
      <c r="A1" s="1" t="inlineStr">
        <is>
          <t>파견 운영 비용 산출 (원본 이미지 전사)</t>
        </is>
      </c>
    </row>
    <row r="2">
      <c r="A2" s="2" t="inlineStr">
        <is>
          <t>※ 단위 미표기 → '만 원'으로 가정(산출 근거 수치와 일치). 이미지 수치를 그대로 옮긴 표이며 수정하지 않음.</t>
        </is>
      </c>
    </row>
    <row r="4" ht="32" customHeight="1">
      <c r="A4" s="3" t="inlineStr">
        <is>
          <t>항목</t>
        </is>
      </c>
      <c r="B4" s="3" t="inlineStr">
        <is>
          <t>산출 근거</t>
        </is>
      </c>
      <c r="C4" s="3" t="inlineStr">
        <is>
          <t>2026
(11~12월, 2개월, 파견 1인)</t>
        </is>
      </c>
      <c r="D4" s="3" t="inlineStr">
        <is>
          <t>2027
(연간, 5인, 파견 2 + 현지 3)</t>
        </is>
      </c>
    </row>
    <row r="5">
      <c r="A5" s="4" t="inlineStr">
        <is>
          <t>주거비 지원</t>
        </is>
      </c>
      <c r="B5" s="4" t="inlineStr">
        <is>
          <t>150만 원×12 + 보증금 6,000만 원×5% (35평 3-bedroom 1세대)</t>
        </is>
      </c>
      <c r="C5" s="5" t="n">
        <v>350</v>
      </c>
      <c r="D5" s="5" t="n">
        <v>2100</v>
      </c>
    </row>
    <row r="6">
      <c r="A6" s="4" t="inlineStr">
        <is>
          <t>사무실 임대료</t>
        </is>
      </c>
      <c r="B6" s="4" t="inlineStr">
        <is>
          <t>경남TP 봉암 4동 705호 (3,700원/㎡ × 140.70㎡, 월 520,590원 · 2026은 2개월)</t>
        </is>
      </c>
      <c r="C6" s="5" t="n">
        <v>104</v>
      </c>
      <c r="D6" s="5" t="n">
        <v>625</v>
      </c>
    </row>
    <row r="7">
      <c r="A7" s="4" t="inlineStr">
        <is>
          <t>사무실 운영비</t>
        </is>
      </c>
      <c r="B7" s="4" t="inlineStr">
        <is>
          <t>통신·소모품·회의비 (월 70만 원 추정, 2026 2개월)</t>
        </is>
      </c>
      <c r="C7" s="5" t="n">
        <v>60</v>
      </c>
      <c r="D7" s="5" t="n">
        <v>840</v>
      </c>
    </row>
    <row r="8">
      <c r="A8" s="4" t="inlineStr">
        <is>
          <t>원격 교통비</t>
        </is>
      </c>
      <c r="B8" s="4" t="inlineStr">
        <is>
          <t>파견자 KTX 왕복 5만 원×2 × 주 1.5회 × 4.3주 (2026 2개월)</t>
        </is>
      </c>
      <c r="C8" s="5" t="n">
        <v>129</v>
      </c>
      <c r="D8" s="5" t="n">
        <v>1548</v>
      </c>
    </row>
    <row r="9">
      <c r="A9" s="4" t="inlineStr">
        <is>
          <t>차량 렌트비</t>
        </is>
      </c>
      <c r="B9" s="4" t="inlineStr">
        <is>
          <t>월 36만 원/대 (아반떼급, 보증금 30%), 2026 1대 · 2027 2대</t>
        </is>
      </c>
      <c r="C9" s="5" t="n">
        <v>72</v>
      </c>
      <c r="D9" s="5" t="n">
        <v>864</v>
      </c>
    </row>
    <row r="10">
      <c r="A10" s="4" t="inlineStr">
        <is>
          <t>차량 운영비</t>
        </is>
      </c>
      <c r="B10" s="4" t="inlineStr">
        <is>
          <t>월 30만 원/대 (월 2,000km)</t>
        </is>
      </c>
      <c r="C10" s="5" t="n">
        <v>60</v>
      </c>
      <c r="D10" s="5" t="n">
        <v>720</v>
      </c>
    </row>
    <row r="11">
      <c r="A11" s="4" t="inlineStr">
        <is>
          <t>파견수당</t>
        </is>
      </c>
      <c r="B11" s="4" t="inlineStr">
        <is>
          <t>파견자 월 30만 원</t>
        </is>
      </c>
      <c r="C11" s="5" t="n">
        <v>60</v>
      </c>
      <c r="D11" s="5" t="n">
        <v>720</v>
      </c>
    </row>
    <row r="12">
      <c r="A12" s="6" t="inlineStr">
        <is>
          <t>추가비용 합계(A)</t>
        </is>
      </c>
      <c r="B12" s="6" t="inlineStr"/>
      <c r="C12" s="7" t="n">
        <v>835</v>
      </c>
      <c r="D12" s="7" t="n">
        <v>7417</v>
      </c>
    </row>
    <row r="13">
      <c r="A13" s="4" t="inlineStr">
        <is>
          <t>출장 숙박료 절감</t>
        </is>
      </c>
      <c r="B13" s="4" t="inlineStr">
        <is>
          <t>파견자 월 4회 × 5만 원</t>
        </is>
      </c>
      <c r="C13" s="5" t="n">
        <v>80</v>
      </c>
      <c r="D13" s="5" t="n">
        <v>480</v>
      </c>
    </row>
    <row r="14">
      <c r="A14" s="4" t="inlineStr">
        <is>
          <t>출장일비 절감</t>
        </is>
      </c>
      <c r="B14" s="4" t="inlineStr">
        <is>
          <t>파견자 월 4회 × 2일 × 1.8만 원</t>
        </is>
      </c>
      <c r="C14" s="5" t="n">
        <v>58</v>
      </c>
      <c r="D14" s="5" t="n">
        <v>346</v>
      </c>
    </row>
    <row r="15">
      <c r="A15" s="4" t="inlineStr">
        <is>
          <t>출장 교통비 절감</t>
        </is>
      </c>
      <c r="B15" s="4" t="inlineStr">
        <is>
          <t>파견자 월 4회 × KTX 왕복 10만 원</t>
        </is>
      </c>
      <c r="C15" s="5" t="n">
        <v>160</v>
      </c>
      <c r="D15" s="5" t="n">
        <v>960</v>
      </c>
    </row>
    <row r="16">
      <c r="A16" s="4" t="inlineStr">
        <is>
          <t>현지 교통비 절감</t>
        </is>
      </c>
      <c r="B16" s="4" t="inlineStr">
        <is>
          <t>파견자 월 4회 × 택시 1만 원 × 2</t>
        </is>
      </c>
      <c r="C16" s="5" t="n">
        <v>32</v>
      </c>
      <c r="D16" s="5" t="n">
        <v>192</v>
      </c>
    </row>
    <row r="17">
      <c r="A17" s="6" t="inlineStr">
        <is>
          <t>직접 절감 합계(B)</t>
        </is>
      </c>
      <c r="B17" s="6" t="inlineStr"/>
      <c r="C17" s="7" t="n">
        <v>165</v>
      </c>
      <c r="D17" s="7" t="n">
        <v>1978</v>
      </c>
    </row>
    <row r="18">
      <c r="A18" s="8" t="inlineStr">
        <is>
          <t>순증 비용 (A−B)</t>
        </is>
      </c>
      <c r="B18" s="8" t="inlineStr">
        <is>
          <t>기간 환산</t>
        </is>
      </c>
      <c r="C18" s="9" t="n">
        <v>670</v>
      </c>
      <c r="D18" s="9" t="n">
        <v>5439</v>
      </c>
    </row>
    <row r="19">
      <c r="A19" s="4" t="inlineStr">
        <is>
          <t>순증 비용 (월 환산)</t>
        </is>
      </c>
      <c r="B19" s="4" t="inlineStr"/>
      <c r="C19" s="5" t="n">
        <v>335</v>
      </c>
      <c r="D19" s="5" t="n">
        <v>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24" customWidth="1" min="3" max="3"/>
    <col width="11" customWidth="1" min="4" max="4"/>
    <col width="9" customWidth="1" min="5" max="5"/>
    <col width="7" customWidth="1" min="6" max="6"/>
    <col width="10" customWidth="1" min="7" max="7"/>
    <col width="9" customWidth="1" min="8" max="8"/>
    <col width="9" customWidth="1" min="9" max="9"/>
    <col width="9" customWidth="1" min="10" max="10"/>
    <col width="7" customWidth="1" min="11" max="11"/>
    <col width="10" customWidth="1" min="12" max="12"/>
    <col width="9" customWidth="1" min="13" max="13"/>
    <col width="9" customWidth="1" min="14" max="14"/>
    <col width="52" customWidth="1" min="15" max="15"/>
  </cols>
  <sheetData>
    <row r="1">
      <c r="A1" s="1" t="inlineStr">
        <is>
          <t>산출 근거 기반 재계산 및 원본 대조 (단위: 만 원)</t>
        </is>
      </c>
    </row>
    <row r="2">
      <c r="A2" s="2" t="inlineStr">
        <is>
          <t>※ 노란 셀 = 입력값(수정 가능). 재계산 = 월 단가 × 인원·대수 × 개월. 적색 = 원본과 다른 값, 흑색 = 원본과 일치.</t>
        </is>
      </c>
    </row>
    <row r="4" ht="32" customHeight="1">
      <c r="A4" s="3" t="inlineStr">
        <is>
          <t>구분</t>
        </is>
      </c>
      <c r="B4" s="3" t="inlineStr">
        <is>
          <t>항목</t>
        </is>
      </c>
      <c r="C4" s="3" t="inlineStr">
        <is>
          <t>월 단가 산식</t>
        </is>
      </c>
      <c r="D4" s="3" t="inlineStr">
        <is>
          <t>월 단가
(만 원/인·대)</t>
        </is>
      </c>
      <c r="E4" s="3" t="inlineStr">
        <is>
          <t>2026
인원·대수</t>
        </is>
      </c>
      <c r="F4" s="3" t="inlineStr">
        <is>
          <t>2026
개월</t>
        </is>
      </c>
      <c r="G4" s="3" t="inlineStr">
        <is>
          <t>2026
재계산</t>
        </is>
      </c>
      <c r="H4" s="3" t="inlineStr">
        <is>
          <t>2026
원본</t>
        </is>
      </c>
      <c r="I4" s="3" t="inlineStr">
        <is>
          <t>2026
차이</t>
        </is>
      </c>
      <c r="J4" s="3" t="inlineStr">
        <is>
          <t>2027
인원·대수</t>
        </is>
      </c>
      <c r="K4" s="3" t="inlineStr">
        <is>
          <t>2027
개월</t>
        </is>
      </c>
      <c r="L4" s="3" t="inlineStr">
        <is>
          <t>2027
재계산</t>
        </is>
      </c>
      <c r="M4" s="3" t="inlineStr">
        <is>
          <t>2027
원본</t>
        </is>
      </c>
      <c r="N4" s="3" t="inlineStr">
        <is>
          <t>2027
차이</t>
        </is>
      </c>
      <c r="O4" s="3" t="inlineStr">
        <is>
          <t>검증 메모</t>
        </is>
      </c>
    </row>
    <row r="5">
      <c r="A5" s="4" t="inlineStr">
        <is>
          <t>추가비용</t>
        </is>
      </c>
      <c r="B5" s="4" t="inlineStr">
        <is>
          <t>주거비 지원</t>
        </is>
      </c>
      <c r="C5" s="4" t="inlineStr">
        <is>
          <t>(150×12 + 6,000×5%) ÷ 12</t>
        </is>
      </c>
      <c r="D5" s="10">
        <f>(150*12+6000*0.05)/12</f>
        <v/>
      </c>
      <c r="E5" s="11" t="n">
        <v>1</v>
      </c>
      <c r="F5" s="11" t="n">
        <v>2</v>
      </c>
      <c r="G5" s="10">
        <f>D5*E5*F5</f>
        <v/>
      </c>
      <c r="H5" s="5" t="n">
        <v>350</v>
      </c>
      <c r="I5" s="10">
        <f>G5-H5</f>
        <v/>
      </c>
      <c r="J5" s="11" t="n">
        <v>1</v>
      </c>
      <c r="K5" s="11" t="n">
        <v>12</v>
      </c>
      <c r="L5" s="10">
        <f>D5*J5*K5</f>
        <v/>
      </c>
      <c r="M5" s="5" t="n">
        <v>2100</v>
      </c>
      <c r="N5" s="10">
        <f>L5-M5</f>
        <v/>
      </c>
      <c r="O5" s="12" t="inlineStr">
        <is>
          <t>2027 파견 2인인데 1세대분만 반영 — 2세대 필요 여부 확인</t>
        </is>
      </c>
    </row>
    <row r="6">
      <c r="A6" s="4" t="inlineStr">
        <is>
          <t>추가비용</t>
        </is>
      </c>
      <c r="B6" s="4" t="inlineStr">
        <is>
          <t>사무실 임대료</t>
        </is>
      </c>
      <c r="C6" s="4" t="inlineStr">
        <is>
          <t>3,700원 × 140.70㎡ ÷ 10,000</t>
        </is>
      </c>
      <c r="D6" s="10">
        <f>3700*140.7/10000</f>
        <v/>
      </c>
      <c r="E6" s="11" t="n">
        <v>1</v>
      </c>
      <c r="F6" s="11" t="n">
        <v>2</v>
      </c>
      <c r="G6" s="10">
        <f>D6*E6*F6</f>
        <v/>
      </c>
      <c r="H6" s="5" t="n">
        <v>104</v>
      </c>
      <c r="I6" s="10">
        <f>G6-H6</f>
        <v/>
      </c>
      <c r="J6" s="11" t="n">
        <v>1</v>
      </c>
      <c r="K6" s="11" t="n">
        <v>12</v>
      </c>
      <c r="L6" s="10">
        <f>D6*J6*K6</f>
        <v/>
      </c>
      <c r="M6" s="5" t="n">
        <v>625</v>
      </c>
      <c r="N6" s="10">
        <f>L6-M6</f>
        <v/>
      </c>
      <c r="O6" s="12" t="inlineStr">
        <is>
          <t>일치(반올림)</t>
        </is>
      </c>
    </row>
    <row r="7">
      <c r="A7" s="4" t="inlineStr">
        <is>
          <t>추가비용</t>
        </is>
      </c>
      <c r="B7" s="4" t="inlineStr">
        <is>
          <t>사무실 운영비</t>
        </is>
      </c>
      <c r="C7" s="4" t="inlineStr">
        <is>
          <t>월 70만 원(추정)</t>
        </is>
      </c>
      <c r="D7" s="10">
        <f>70</f>
        <v/>
      </c>
      <c r="E7" s="11" t="n">
        <v>1</v>
      </c>
      <c r="F7" s="11" t="n">
        <v>2</v>
      </c>
      <c r="G7" s="10">
        <f>D7*E7*F7</f>
        <v/>
      </c>
      <c r="H7" s="5" t="n">
        <v>60</v>
      </c>
      <c r="I7" s="10">
        <f>G7-H7</f>
        <v/>
      </c>
      <c r="J7" s="11" t="n">
        <v>1</v>
      </c>
      <c r="K7" s="11" t="n">
        <v>12</v>
      </c>
      <c r="L7" s="10">
        <f>D7*J7*K7</f>
        <v/>
      </c>
      <c r="M7" s="5" t="n">
        <v>840</v>
      </c>
      <c r="N7" s="10">
        <f>L7-M7</f>
        <v/>
      </c>
      <c r="O7" s="12" t="inlineStr">
        <is>
          <t>2026: 70×2개월=140이어야 함. 원본 60은 오류</t>
        </is>
      </c>
    </row>
    <row r="8">
      <c r="A8" s="4" t="inlineStr">
        <is>
          <t>추가비용</t>
        </is>
      </c>
      <c r="B8" s="4" t="inlineStr">
        <is>
          <t>원격 교통비</t>
        </is>
      </c>
      <c r="C8" s="4" t="inlineStr">
        <is>
          <t>5만 × 2 × 1.5회 × 4.3주</t>
        </is>
      </c>
      <c r="D8" s="10">
        <f>5*2*1.5*4.3</f>
        <v/>
      </c>
      <c r="E8" s="11" t="n">
        <v>1</v>
      </c>
      <c r="F8" s="11" t="n">
        <v>2</v>
      </c>
      <c r="G8" s="10">
        <f>D8*E8*F8</f>
        <v/>
      </c>
      <c r="H8" s="5" t="n">
        <v>129</v>
      </c>
      <c r="I8" s="10">
        <f>G8-H8</f>
        <v/>
      </c>
      <c r="J8" s="11" t="n">
        <v>2</v>
      </c>
      <c r="K8" s="11" t="n">
        <v>12</v>
      </c>
      <c r="L8" s="10">
        <f>D8*J8*K8</f>
        <v/>
      </c>
      <c r="M8" s="5" t="n">
        <v>1548</v>
      </c>
      <c r="N8" s="10">
        <f>L8-M8</f>
        <v/>
      </c>
      <c r="O8" s="12" t="inlineStr">
        <is>
          <t>일치. 2027은 파견 2인 기준</t>
        </is>
      </c>
    </row>
    <row r="9">
      <c r="A9" s="4" t="inlineStr">
        <is>
          <t>추가비용</t>
        </is>
      </c>
      <c r="B9" s="4" t="inlineStr">
        <is>
          <t>차량 렌트비</t>
        </is>
      </c>
      <c r="C9" s="4" t="inlineStr">
        <is>
          <t>월 36만 원/대</t>
        </is>
      </c>
      <c r="D9" s="10">
        <f>36</f>
        <v/>
      </c>
      <c r="E9" s="11" t="n">
        <v>1</v>
      </c>
      <c r="F9" s="11" t="n">
        <v>2</v>
      </c>
      <c r="G9" s="10">
        <f>D9*E9*F9</f>
        <v/>
      </c>
      <c r="H9" s="5" t="n">
        <v>72</v>
      </c>
      <c r="I9" s="10">
        <f>G9-H9</f>
        <v/>
      </c>
      <c r="J9" s="11" t="n">
        <v>2</v>
      </c>
      <c r="K9" s="11" t="n">
        <v>12</v>
      </c>
      <c r="L9" s="10">
        <f>D9*J9*K9</f>
        <v/>
      </c>
      <c r="M9" s="5" t="n">
        <v>864</v>
      </c>
      <c r="N9" s="10">
        <f>L9-M9</f>
        <v/>
      </c>
      <c r="O9" s="12" t="inlineStr">
        <is>
          <t>일치. 보증금 30%는 미반영(별도 확인)</t>
        </is>
      </c>
    </row>
    <row r="10">
      <c r="A10" s="4" t="inlineStr">
        <is>
          <t>추가비용</t>
        </is>
      </c>
      <c r="B10" s="4" t="inlineStr">
        <is>
          <t>차량 운영비</t>
        </is>
      </c>
      <c r="C10" s="4" t="inlineStr">
        <is>
          <t>월 30만 원/대</t>
        </is>
      </c>
      <c r="D10" s="10">
        <f>30</f>
        <v/>
      </c>
      <c r="E10" s="11" t="n">
        <v>1</v>
      </c>
      <c r="F10" s="11" t="n">
        <v>2</v>
      </c>
      <c r="G10" s="10">
        <f>D10*E10*F10</f>
        <v/>
      </c>
      <c r="H10" s="5" t="n">
        <v>60</v>
      </c>
      <c r="I10" s="10">
        <f>G10-H10</f>
        <v/>
      </c>
      <c r="J10" s="11" t="n">
        <v>2</v>
      </c>
      <c r="K10" s="11" t="n">
        <v>12</v>
      </c>
      <c r="L10" s="10">
        <f>D10*J10*K10</f>
        <v/>
      </c>
      <c r="M10" s="5" t="n">
        <v>720</v>
      </c>
      <c r="N10" s="10">
        <f>L10-M10</f>
        <v/>
      </c>
      <c r="O10" s="12" t="inlineStr">
        <is>
          <t>일치</t>
        </is>
      </c>
    </row>
    <row r="11">
      <c r="A11" s="4" t="inlineStr">
        <is>
          <t>추가비용</t>
        </is>
      </c>
      <c r="B11" s="4" t="inlineStr">
        <is>
          <t>파견수당</t>
        </is>
      </c>
      <c r="C11" s="4" t="inlineStr">
        <is>
          <t>월 30만 원/인</t>
        </is>
      </c>
      <c r="D11" s="10">
        <f>30</f>
        <v/>
      </c>
      <c r="E11" s="11" t="n">
        <v>1</v>
      </c>
      <c r="F11" s="11" t="n">
        <v>2</v>
      </c>
      <c r="G11" s="10">
        <f>D11*E11*F11</f>
        <v/>
      </c>
      <c r="H11" s="5" t="n">
        <v>60</v>
      </c>
      <c r="I11" s="10">
        <f>G11-H11</f>
        <v/>
      </c>
      <c r="J11" s="11" t="n">
        <v>2</v>
      </c>
      <c r="K11" s="11" t="n">
        <v>12</v>
      </c>
      <c r="L11" s="10">
        <f>D11*J11*K11</f>
        <v/>
      </c>
      <c r="M11" s="5" t="n">
        <v>720</v>
      </c>
      <c r="N11" s="10">
        <f>L11-M11</f>
        <v/>
      </c>
      <c r="O11" s="12" t="inlineStr">
        <is>
          <t>일치</t>
        </is>
      </c>
    </row>
    <row r="12">
      <c r="A12" s="6" t="inlineStr">
        <is>
          <t>추가비용 합계 (A)</t>
        </is>
      </c>
      <c r="B12" s="13" t="n"/>
      <c r="C12" s="13" t="n"/>
      <c r="D12" s="13" t="n"/>
      <c r="E12" s="13" t="n"/>
      <c r="F12" s="14" t="n"/>
      <c r="G12" s="15">
        <f>SUM(G5:G11)</f>
        <v/>
      </c>
      <c r="H12" s="7" t="n">
        <v>835</v>
      </c>
      <c r="I12" s="15">
        <f>G12-H12</f>
        <v/>
      </c>
      <c r="J12" s="6" t="n"/>
      <c r="K12" s="6" t="n"/>
      <c r="L12" s="15">
        <f>SUM(L5:L11)</f>
        <v/>
      </c>
      <c r="M12" s="7" t="n">
        <v>7417</v>
      </c>
      <c r="N12" s="15">
        <f>L12-M12</f>
        <v/>
      </c>
      <c r="O12" s="16" t="inlineStr">
        <is>
          <t>2026: 운영비 오류로 80 과소 계상 (정상 915)</t>
        </is>
      </c>
    </row>
    <row r="13">
      <c r="A13" s="4" t="inlineStr">
        <is>
          <t>절감</t>
        </is>
      </c>
      <c r="B13" s="4" t="inlineStr">
        <is>
          <t>출장 숙박료 절감</t>
        </is>
      </c>
      <c r="C13" s="4" t="inlineStr">
        <is>
          <t>4회 × 5만</t>
        </is>
      </c>
      <c r="D13" s="10">
        <f>4*5</f>
        <v/>
      </c>
      <c r="E13" s="11" t="n">
        <v>1</v>
      </c>
      <c r="F13" s="11" t="n">
        <v>2</v>
      </c>
      <c r="G13" s="10">
        <f>D13*E13*F13</f>
        <v/>
      </c>
      <c r="H13" s="5" t="n">
        <v>80</v>
      </c>
      <c r="I13" s="10">
        <f>G13-H13</f>
        <v/>
      </c>
      <c r="J13" s="11" t="n">
        <v>2</v>
      </c>
      <c r="K13" s="11" t="n">
        <v>12</v>
      </c>
      <c r="L13" s="10">
        <f>D13*J13*K13</f>
        <v/>
      </c>
      <c r="M13" s="5" t="n">
        <v>480</v>
      </c>
      <c r="N13" s="10">
        <f>L13-M13</f>
        <v/>
      </c>
      <c r="O13" s="12" t="inlineStr">
        <is>
          <t>2026 항목값이 2배(1인·2개월이면 40). 합계(B)는 정상값 기준</t>
        </is>
      </c>
    </row>
    <row r="14">
      <c r="A14" s="4" t="inlineStr">
        <is>
          <t>절감</t>
        </is>
      </c>
      <c r="B14" s="4" t="inlineStr">
        <is>
          <t>출장일비 절감</t>
        </is>
      </c>
      <c r="C14" s="4" t="inlineStr">
        <is>
          <t>4회 × 2일 × 1.8만</t>
        </is>
      </c>
      <c r="D14" s="10">
        <f>4*2*1.8</f>
        <v/>
      </c>
      <c r="E14" s="11" t="n">
        <v>1</v>
      </c>
      <c r="F14" s="11" t="n">
        <v>2</v>
      </c>
      <c r="G14" s="10">
        <f>D14*E14*F14</f>
        <v/>
      </c>
      <c r="H14" s="5" t="n">
        <v>58</v>
      </c>
      <c r="I14" s="10">
        <f>G14-H14</f>
        <v/>
      </c>
      <c r="J14" s="11" t="n">
        <v>2</v>
      </c>
      <c r="K14" s="11" t="n">
        <v>12</v>
      </c>
      <c r="L14" s="10">
        <f>D14*J14*K14</f>
        <v/>
      </c>
      <c r="M14" s="5" t="n">
        <v>346</v>
      </c>
      <c r="N14" s="10">
        <f>L14-M14</f>
        <v/>
      </c>
      <c r="O14" s="12" t="inlineStr">
        <is>
          <t>2026 항목값이 2배(정상 28.8)</t>
        </is>
      </c>
    </row>
    <row r="15">
      <c r="A15" s="4" t="inlineStr">
        <is>
          <t>절감</t>
        </is>
      </c>
      <c r="B15" s="4" t="inlineStr">
        <is>
          <t>출장 교통비 절감</t>
        </is>
      </c>
      <c r="C15" s="4" t="inlineStr">
        <is>
          <t>4회 × KTX 왕복 10만</t>
        </is>
      </c>
      <c r="D15" s="10">
        <f>4*10</f>
        <v/>
      </c>
      <c r="E15" s="11" t="n">
        <v>1</v>
      </c>
      <c r="F15" s="11" t="n">
        <v>2</v>
      </c>
      <c r="G15" s="10">
        <f>D15*E15*F15</f>
        <v/>
      </c>
      <c r="H15" s="5" t="n">
        <v>160</v>
      </c>
      <c r="I15" s="10">
        <f>G15-H15</f>
        <v/>
      </c>
      <c r="J15" s="11" t="n">
        <v>2</v>
      </c>
      <c r="K15" s="11" t="n">
        <v>12</v>
      </c>
      <c r="L15" s="10">
        <f>D15*J15*K15</f>
        <v/>
      </c>
      <c r="M15" s="5" t="n">
        <v>960</v>
      </c>
      <c r="N15" s="10">
        <f>L15-M15</f>
        <v/>
      </c>
      <c r="O15" s="12" t="inlineStr">
        <is>
          <t>2026 항목값이 2배(정상 80)</t>
        </is>
      </c>
    </row>
    <row r="16">
      <c r="A16" s="4" t="inlineStr">
        <is>
          <t>절감</t>
        </is>
      </c>
      <c r="B16" s="4" t="inlineStr">
        <is>
          <t>현지 교통비 절감</t>
        </is>
      </c>
      <c r="C16" s="4" t="inlineStr">
        <is>
          <t>4회 × 택시 1만 × 2</t>
        </is>
      </c>
      <c r="D16" s="10">
        <f>4*1*2</f>
        <v/>
      </c>
      <c r="E16" s="11" t="n">
        <v>1</v>
      </c>
      <c r="F16" s="11" t="n">
        <v>2</v>
      </c>
      <c r="G16" s="10">
        <f>D16*E16*F16</f>
        <v/>
      </c>
      <c r="H16" s="5" t="n">
        <v>32</v>
      </c>
      <c r="I16" s="10">
        <f>G16-H16</f>
        <v/>
      </c>
      <c r="J16" s="11" t="n">
        <v>2</v>
      </c>
      <c r="K16" s="11" t="n">
        <v>12</v>
      </c>
      <c r="L16" s="10">
        <f>D16*J16*K16</f>
        <v/>
      </c>
      <c r="M16" s="5" t="n">
        <v>192</v>
      </c>
      <c r="N16" s="10">
        <f>L16-M16</f>
        <v/>
      </c>
      <c r="O16" s="12" t="inlineStr">
        <is>
          <t>2026 항목값이 2배(정상 16)</t>
        </is>
      </c>
    </row>
    <row r="17">
      <c r="A17" s="6" t="inlineStr">
        <is>
          <t>직접 절감 합계 (B)</t>
        </is>
      </c>
      <c r="B17" s="13" t="n"/>
      <c r="C17" s="13" t="n"/>
      <c r="D17" s="13" t="n"/>
      <c r="E17" s="13" t="n"/>
      <c r="F17" s="14" t="n"/>
      <c r="G17" s="15">
        <f>SUM(G13:G16)</f>
        <v/>
      </c>
      <c r="H17" s="7" t="n">
        <v>165</v>
      </c>
      <c r="I17" s="15">
        <f>G17-H17</f>
        <v/>
      </c>
      <c r="J17" s="6" t="n"/>
      <c r="K17" s="6" t="n"/>
      <c r="L17" s="15">
        <f>SUM(L13:L16)</f>
        <v/>
      </c>
      <c r="M17" s="7" t="n">
        <v>1978</v>
      </c>
      <c r="N17" s="15">
        <f>L17-M17</f>
        <v/>
      </c>
      <c r="O17" s="16" t="inlineStr">
        <is>
          <t>원본 합계 165는 정상값. 단, 항목값 합(330)과 불일치</t>
        </is>
      </c>
    </row>
    <row r="18">
      <c r="A18" s="8" t="inlineStr">
        <is>
          <t>순증 비용 (A − B)</t>
        </is>
      </c>
      <c r="B18" s="13" t="n"/>
      <c r="C18" s="13" t="n"/>
      <c r="D18" s="13" t="n"/>
      <c r="E18" s="13" t="n"/>
      <c r="F18" s="14" t="n"/>
      <c r="G18" s="17">
        <f>G12-G17</f>
        <v/>
      </c>
      <c r="H18" s="9" t="n">
        <v>670</v>
      </c>
      <c r="I18" s="17">
        <f>G18-H18</f>
        <v/>
      </c>
      <c r="J18" s="8" t="n"/>
      <c r="K18" s="8" t="n"/>
      <c r="L18" s="17">
        <f>L12-L17</f>
        <v/>
      </c>
      <c r="M18" s="9" t="n">
        <v>5439</v>
      </c>
      <c r="N18" s="17">
        <f>L18-M18</f>
        <v/>
      </c>
      <c r="O18" s="8" t="inlineStr">
        <is>
          <t>2026 정상값 750 (원본 670)</t>
        </is>
      </c>
    </row>
    <row r="19">
      <c r="A19" s="18" t="inlineStr">
        <is>
          <t>순증 비용 (월 환산)</t>
        </is>
      </c>
      <c r="B19" s="13" t="n"/>
      <c r="C19" s="13" t="n"/>
      <c r="D19" s="13" t="n"/>
      <c r="E19" s="13" t="n"/>
      <c r="F19" s="14" t="n"/>
      <c r="G19" s="19">
        <f>G18/F5</f>
        <v/>
      </c>
      <c r="H19" s="20" t="n">
        <v>335</v>
      </c>
      <c r="I19" s="19">
        <f>G19-H19</f>
        <v/>
      </c>
      <c r="J19" s="18" t="n"/>
      <c r="K19" s="18" t="n"/>
      <c r="L19" s="19">
        <f>L18/K5</f>
        <v/>
      </c>
      <c r="M19" s="20" t="n">
        <v>453</v>
      </c>
      <c r="N19" s="19">
        <f>L19-M19</f>
        <v/>
      </c>
      <c r="O19" s="18" t="inlineStr">
        <is>
          <t>2026 정상값 375/월 (원본 335)</t>
        </is>
      </c>
    </row>
  </sheetData>
  <mergeCells count="4">
    <mergeCell ref="A19:F19"/>
    <mergeCell ref="A17:F17"/>
    <mergeCell ref="A12:F12"/>
    <mergeCell ref="A18:F18"/>
  </mergeCells>
  <conditionalFormatting sqref="G5:G19">
    <cfRule type="expression" priority="1" dxfId="0">
      <formula>ABS($I5)&gt;=1</formula>
    </cfRule>
  </conditionalFormatting>
  <conditionalFormatting sqref="I5:I19">
    <cfRule type="expression" priority="2" dxfId="0">
      <formula>ABS(I5)&gt;=1</formula>
    </cfRule>
  </conditionalFormatting>
  <conditionalFormatting sqref="L5:L19">
    <cfRule type="expression" priority="3" dxfId="0">
      <formula>ABS($N5)&gt;=1</formula>
    </cfRule>
  </conditionalFormatting>
  <conditionalFormatting sqref="N5:N19">
    <cfRule type="expression" priority="4" dxfId="0">
      <formula>ABS(N5)&gt;=1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20" customWidth="1" min="3" max="3"/>
    <col width="60" customWidth="1" min="4" max="4"/>
    <col width="18" customWidth="1" min="5" max="5"/>
    <col width="18" customWidth="1" min="6" max="6"/>
    <col width="40" customWidth="1" min="7" max="7"/>
  </cols>
  <sheetData>
    <row r="1">
      <c r="A1" s="1" t="inlineStr">
        <is>
          <t>검증 결과 요약</t>
        </is>
      </c>
    </row>
    <row r="2">
      <c r="A2" s="2" t="inlineStr">
        <is>
          <t>※ 원본 수치를 산출 근거로 역산해 대조한 결과. 수정 여부는 작성자 확인 후 결정.</t>
        </is>
      </c>
    </row>
    <row r="4">
      <c r="A4" s="3" t="inlineStr">
        <is>
          <t>No</t>
        </is>
      </c>
      <c r="B4" s="3" t="inlineStr">
        <is>
          <t>심각도</t>
        </is>
      </c>
      <c r="C4" s="3" t="inlineStr">
        <is>
          <t>구분</t>
        </is>
      </c>
      <c r="D4" s="3" t="inlineStr">
        <is>
          <t>내용</t>
        </is>
      </c>
      <c r="E4" s="3" t="inlineStr">
        <is>
          <t>원본</t>
        </is>
      </c>
      <c r="F4" s="3" t="inlineStr">
        <is>
          <t>정상값(재계산)</t>
        </is>
      </c>
      <c r="G4" s="3" t="inlineStr">
        <is>
          <t>조치 제안</t>
        </is>
      </c>
    </row>
    <row r="5">
      <c r="A5" s="21" t="n">
        <v>1</v>
      </c>
      <c r="B5" s="22" t="inlineStr">
        <is>
          <t>오류</t>
        </is>
      </c>
      <c r="C5" s="23" t="inlineStr">
        <is>
          <t>사무실 운영비 2026</t>
        </is>
      </c>
      <c r="D5" s="23" t="inlineStr">
        <is>
          <t>월 70만 원 × 2개월 = 140인데 60으로 기재. A 합계·순증·월 환산까지 연쇄 오류</t>
        </is>
      </c>
      <c r="E5" s="23" t="inlineStr">
        <is>
          <t>60</t>
        </is>
      </c>
      <c r="F5" s="23" t="inlineStr">
        <is>
          <t>140</t>
        </is>
      </c>
      <c r="G5" s="23" t="inlineStr">
        <is>
          <t>140으로 수정 → A 915, 순증 750, 월 375</t>
        </is>
      </c>
    </row>
    <row r="6">
      <c r="A6" s="21" t="n">
        <v>2</v>
      </c>
      <c r="B6" s="22" t="inlineStr">
        <is>
          <t>오류</t>
        </is>
      </c>
      <c r="C6" s="23" t="inlineStr">
        <is>
          <t>절감 4개 항목 2026</t>
        </is>
      </c>
      <c r="D6" s="23" t="inlineStr">
        <is>
          <t>항목값이 모두 정상값의 2배(2인 또는 4개월 기준으로 계산된 것으로 보임). 반면 합계(B) 165는 정상값이라 항목 합(330)과 표 안에서 불일치</t>
        </is>
      </c>
      <c r="E6" s="23" t="inlineStr">
        <is>
          <t>80 / 58 / 160 / 32</t>
        </is>
      </c>
      <c r="F6" s="23" t="inlineStr">
        <is>
          <t>40 / 28.8 / 80 / 16</t>
        </is>
      </c>
      <c r="G6" s="23" t="inlineStr">
        <is>
          <t>항목값을 정상값으로 수정 (합계 165 유지)</t>
        </is>
      </c>
    </row>
    <row r="7">
      <c r="A7" s="21" t="n">
        <v>3</v>
      </c>
      <c r="B7" s="21" t="inlineStr">
        <is>
          <t>확인</t>
        </is>
      </c>
      <c r="C7" s="23" t="inlineStr">
        <is>
          <t>주거비 2027</t>
        </is>
      </c>
      <c r="D7" s="23" t="inlineStr">
        <is>
          <t>2027 파견 2인인데 주거비는 1세대(2,100)만 반영. 1세대 공동 거주 전제인지 불명확</t>
        </is>
      </c>
      <c r="E7" s="23" t="inlineStr">
        <is>
          <t>2,100</t>
        </is>
      </c>
      <c r="F7" s="23" t="inlineStr">
        <is>
          <t>2세대면 4,200</t>
        </is>
      </c>
      <c r="G7" s="23" t="inlineStr">
        <is>
          <t>전제를 산출 근거에 명시하거나 2세대로 반영</t>
        </is>
      </c>
    </row>
    <row r="8">
      <c r="A8" s="21" t="n">
        <v>4</v>
      </c>
      <c r="B8" s="21" t="inlineStr">
        <is>
          <t>확인</t>
        </is>
      </c>
      <c r="C8" s="23" t="inlineStr">
        <is>
          <t>차량 렌트비</t>
        </is>
      </c>
      <c r="D8" s="23" t="inlineStr">
        <is>
          <t>'보증금 30%' 언급만 있고 금액 미반영</t>
        </is>
      </c>
      <c r="E8" s="23" t="inlineStr">
        <is>
          <t>-</t>
        </is>
      </c>
      <c r="F8" s="23" t="inlineStr">
        <is>
          <t>-</t>
        </is>
      </c>
      <c r="G8" s="23" t="inlineStr">
        <is>
          <t>보증금이 환급성이면 비용 제외 사유를 각주로 명시</t>
        </is>
      </c>
    </row>
    <row r="9">
      <c r="A9" s="21" t="n">
        <v>5</v>
      </c>
      <c r="B9" s="21" t="inlineStr">
        <is>
          <t>확인</t>
        </is>
      </c>
      <c r="C9" s="23" t="inlineStr">
        <is>
          <t>2027 현지 3인</t>
        </is>
      </c>
      <c r="D9" s="23" t="inlineStr">
        <is>
          <t>헤더에 '5인(파견 2 + 현지 3)'이라 했으나 현지 인력 관련 비용 항목 없음</t>
        </is>
      </c>
      <c r="E9" s="23" t="inlineStr">
        <is>
          <t>-</t>
        </is>
      </c>
      <c r="F9" s="23" t="inlineStr">
        <is>
          <t>-</t>
        </is>
      </c>
      <c r="G9" s="23" t="inlineStr">
        <is>
          <t>현지 인력 인건비 등은 별도 예산이면 각주로 명시</t>
        </is>
      </c>
    </row>
    <row r="10">
      <c r="A10" s="21" t="n">
        <v>6</v>
      </c>
      <c r="B10" s="21" t="inlineStr">
        <is>
          <t>참고</t>
        </is>
      </c>
      <c r="C10" s="23" t="inlineStr">
        <is>
          <t>단위</t>
        </is>
      </c>
      <c r="D10" s="23" t="inlineStr">
        <is>
          <t>표에 금액 단위 표기 없음. 산출 근거상 '만 원'으로 판단</t>
        </is>
      </c>
      <c r="E10" s="23" t="inlineStr">
        <is>
          <t>-</t>
        </is>
      </c>
      <c r="F10" s="23" t="inlineStr">
        <is>
          <t>-</t>
        </is>
      </c>
      <c r="G10" s="23" t="inlineStr">
        <is>
          <t>표 제목 또는 헤더에 '(단위: 만 원)' 추가</t>
        </is>
      </c>
    </row>
    <row r="12">
      <c r="C12" s="24" t="inlineStr">
        <is>
          <t>정정 시 2026 요약</t>
        </is>
      </c>
    </row>
    <row r="13">
      <c r="C13" s="25" t="inlineStr">
        <is>
          <t>항목</t>
        </is>
      </c>
      <c r="E13" s="25" t="inlineStr">
        <is>
          <t>원본</t>
        </is>
      </c>
      <c r="F13" s="25" t="inlineStr">
        <is>
          <t>정정</t>
        </is>
      </c>
    </row>
    <row r="14">
      <c r="C14" s="4" t="inlineStr">
        <is>
          <t>추가비용 합계(A)</t>
        </is>
      </c>
      <c r="E14" s="26" t="n">
        <v>835</v>
      </c>
      <c r="F14" s="27" t="n">
        <v>915</v>
      </c>
    </row>
    <row r="15">
      <c r="C15" s="4" t="inlineStr">
        <is>
          <t>직접 절감 합계(B)</t>
        </is>
      </c>
      <c r="E15" s="26" t="n">
        <v>165</v>
      </c>
      <c r="F15" s="26" t="n">
        <v>165</v>
      </c>
    </row>
    <row r="16">
      <c r="C16" s="4" t="inlineStr">
        <is>
          <t>순증 비용(A−B)</t>
        </is>
      </c>
      <c r="E16" s="26" t="n">
        <v>670</v>
      </c>
      <c r="F16" s="27" t="n">
        <v>750</v>
      </c>
    </row>
    <row r="17">
      <c r="C17" s="4" t="inlineStr">
        <is>
          <t>순증 비용(월 환산)</t>
        </is>
      </c>
      <c r="E17" s="26" t="n">
        <v>335</v>
      </c>
      <c r="F17" s="27" t="n">
        <v>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2026-10-29T07:17:31Z</dcterms:created>
  <dcterms:modified xmlns:dcterms="http://purl.org/dc/terms/" xmlns:xsi="http://www.w3.org/2001/XMLSchema-instance" xsi:type="dcterms:W3CDTF">2026-10-29T07:17:32Z</dcterms:modified>
</cp:coreProperties>
</file>